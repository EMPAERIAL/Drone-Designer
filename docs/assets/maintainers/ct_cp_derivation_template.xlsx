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tCp Calculato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42" customWidth="1"/>
    <col min="2" max="2" width="20" customWidth="1"/>
    <col min="3" max="6" width="18" customWidth="1"/>
    <col min="7" max="13" width="16" customWidth="1"/>
  </cols>
  <sheetData>
    <row r="1">
      <c r="A1" t="inlineStr" s="1">
        <is>
          <t>Ct/Cp Derivation Template (for Drone Designer)</t>
        </is>
      </c>
    </row>
    <row r="2">
      <c r="A2" t="inlineStr">
        <is>
          <t>Fill input cells, then copy Avg Ct / Avg Cp into components.json</t>
        </is>
      </c>
    </row>
    <row r="4">
      <c r="A4" t="inlineStr">
        <is>
          <t>Prop ID/Name</t>
        </is>
      </c>
      <c r="B4" t="inlineStr" s="2">
        <is>
          <t/>
        </is>
      </c>
      <c r="E4" t="inlineStr" s="1">
        <is>
          <t>Avg Ct</t>
        </is>
      </c>
      <c r="F4" s="3">
        <f>IFERROR(AVERAGEIF(K14:K33,"&gt;0"),"")</f>
      </c>
    </row>
    <row r="5">
      <c r="A5" t="inlineStr">
        <is>
          <t>Diameter (in)</t>
        </is>
      </c>
      <c r="B5" t="inlineStr" s="2">
        <is>
          <t/>
        </is>
      </c>
      <c r="E5" t="inlineStr" s="1">
        <is>
          <t>Avg Cp</t>
        </is>
      </c>
      <c r="F5" s="3">
        <f>IFERROR(AVERAGEIF(M14:M33,"&gt;0"),"")</f>
      </c>
    </row>
    <row r="6">
      <c r="A6" t="inlineStr">
        <is>
          <t>Altitude (m)</t>
        </is>
      </c>
      <c r="B6" s="2">
        <v>0</v>
      </c>
    </row>
    <row r="7">
      <c r="A7" t="inlineStr">
        <is>
          <t>Ambient Temp (C)</t>
        </is>
      </c>
      <c r="B7" s="2">
        <v>25</v>
      </c>
    </row>
    <row r="8">
      <c r="A8" t="inlineStr">
        <is>
          <t>Manual rho override (kg/m^3, optional)</t>
        </is>
      </c>
      <c r="B8" t="inlineStr" s="2">
        <is>
          <t/>
        </is>
      </c>
    </row>
    <row r="9">
      <c r="A9" t="inlineStr">
        <is>
          <t>rho used (kg/m^3)</t>
        </is>
      </c>
      <c r="B9" s="3">
        <f>IF(B8&lt;&gt;"",B8,1.225*POWER(1-2.25577E-5*B6,4.2559)*(288.15/(288.15+B7)))</f>
      </c>
    </row>
    <row r="11">
      <c r="A11" t="inlineStr">
        <is>
          <t>Ct can be derived from thrust/RPM/diameter/rho.</t>
        </is>
      </c>
    </row>
    <row r="12">
      <c r="A12" t="inlineStr">
        <is>
          <t>Cp needs shaft power (or electrical power and an efficiency assumption).</t>
        </is>
      </c>
    </row>
    <row r="13">
      <c r="A13" t="inlineStr" s="1">
        <is>
          <t>Test</t>
        </is>
      </c>
      <c r="B13" t="inlineStr" s="1">
        <is>
          <t>RPM</t>
        </is>
      </c>
      <c r="C13" t="inlineStr" s="1">
        <is>
          <t>Thrust_gf</t>
        </is>
      </c>
      <c r="D13" t="inlineStr" s="1">
        <is>
          <t>ShaftPower_W (opt)</t>
        </is>
      </c>
      <c r="E13" t="inlineStr" s="1">
        <is>
          <t>ElectricalPower_W (opt)</t>
        </is>
      </c>
      <c r="F13" t="inlineStr" s="1">
        <is>
          <t>PropEff(0..1)</t>
        </is>
      </c>
      <c r="G13" t="inlineStr" s="1">
        <is>
          <t>n_rev_s</t>
        </is>
      </c>
      <c r="H13" t="inlineStr" s="1">
        <is>
          <t>Thrust_N</t>
        </is>
      </c>
      <c r="I13" t="inlineStr" s="1">
        <is>
          <t>D_m</t>
        </is>
      </c>
      <c r="J13" t="inlineStr" s="1">
        <is>
          <t>rho</t>
        </is>
      </c>
      <c r="K13" t="inlineStr" s="1">
        <is>
          <t>Ct</t>
        </is>
      </c>
      <c r="L13" t="inlineStr" s="1">
        <is>
          <t>ShaftPowerUsed_W</t>
        </is>
      </c>
      <c r="M13" t="inlineStr" s="1">
        <is>
          <t>Cp</t>
        </is>
      </c>
    </row>
    <row r="14">
      <c r="F14" s="2">
        <v>0.85</v>
      </c>
      <c r="G14" s="3">
        <f>IF(B14="","",B14/60)</f>
      </c>
      <c r="H14" s="3">
        <f>IF(C14="","",C14*0.00981)</f>
      </c>
      <c r="I14" s="3">
        <f>IF($B$5="","",$B$5*0.0254)</f>
      </c>
      <c r="J14" s="3">
        <f>IF($B$9="","",$B$9)</f>
      </c>
      <c r="K14" s="3">
        <f>IFERROR(IF(OR(G14="",H14="",I14="",J14=""),"",H14/(J14*G14^2*I14^4)),"")</f>
      </c>
      <c r="L14" s="3">
        <f>IF(D14&lt;&gt;"",D14,IF(AND(E14&lt;&gt;"",F14&lt;&gt;""),E14*F14,""))</f>
      </c>
      <c r="M14" s="3">
        <f>IFERROR(IF(OR(L14="",G14="",I14="",J14=""),"",L14/(J14*G14^3*I14^5)),"")</f>
      </c>
    </row>
    <row r="15">
      <c r="F15" s="2">
        <v>0.85</v>
      </c>
      <c r="G15" s="3">
        <f>IF(B15="","",B15/60)</f>
      </c>
      <c r="H15" s="3">
        <f>IF(C15="","",C15*0.00981)</f>
      </c>
      <c r="I15" s="3">
        <f>IF($B$5="","",$B$5*0.0254)</f>
      </c>
      <c r="J15" s="3">
        <f>IF($B$9="","",$B$9)</f>
      </c>
      <c r="K15" s="3">
        <f>IFERROR(IF(OR(G15="",H15="",I15="",J15=""),"",H15/(J15*G15^2*I15^4)),"")</f>
      </c>
      <c r="L15" s="3">
        <f>IF(D15&lt;&gt;"",D15,IF(AND(E15&lt;&gt;"",F15&lt;&gt;""),E15*F15,""))</f>
      </c>
      <c r="M15" s="3">
        <f>IFERROR(IF(OR(L15="",G15="",I15="",J15=""),"",L15/(J15*G15^3*I15^5)),"")</f>
      </c>
    </row>
    <row r="16">
      <c r="F16" s="2">
        <v>0.85</v>
      </c>
      <c r="G16" s="3">
        <f>IF(B16="","",B16/60)</f>
      </c>
      <c r="H16" s="3">
        <f>IF(C16="","",C16*0.00981)</f>
      </c>
      <c r="I16" s="3">
        <f>IF($B$5="","",$B$5*0.0254)</f>
      </c>
      <c r="J16" s="3">
        <f>IF($B$9="","",$B$9)</f>
      </c>
      <c r="K16" s="3">
        <f>IFERROR(IF(OR(G16="",H16="",I16="",J16=""),"",H16/(J16*G16^2*I16^4)),"")</f>
      </c>
      <c r="L16" s="3">
        <f>IF(D16&lt;&gt;"",D16,IF(AND(E16&lt;&gt;"",F16&lt;&gt;""),E16*F16,""))</f>
      </c>
      <c r="M16" s="3">
        <f>IFERROR(IF(OR(L16="",G16="",I16="",J16=""),"",L16/(J16*G16^3*I16^5)),"")</f>
      </c>
    </row>
    <row r="17">
      <c r="F17" s="2">
        <v>0.85</v>
      </c>
      <c r="G17" s="3">
        <f>IF(B17="","",B17/60)</f>
      </c>
      <c r="H17" s="3">
        <f>IF(C17="","",C17*0.00981)</f>
      </c>
      <c r="I17" s="3">
        <f>IF($B$5="","",$B$5*0.0254)</f>
      </c>
      <c r="J17" s="3">
        <f>IF($B$9="","",$B$9)</f>
      </c>
      <c r="K17" s="3">
        <f>IFERROR(IF(OR(G17="",H17="",I17="",J17=""),"",H17/(J17*G17^2*I17^4)),"")</f>
      </c>
      <c r="L17" s="3">
        <f>IF(D17&lt;&gt;"",D17,IF(AND(E17&lt;&gt;"",F17&lt;&gt;""),E17*F17,""))</f>
      </c>
      <c r="M17" s="3">
        <f>IFERROR(IF(OR(L17="",G17="",I17="",J17=""),"",L17/(J17*G17^3*I17^5)),"")</f>
      </c>
    </row>
    <row r="18">
      <c r="F18" s="2">
        <v>0.85</v>
      </c>
      <c r="G18" s="3">
        <f>IF(B18="","",B18/60)</f>
      </c>
      <c r="H18" s="3">
        <f>IF(C18="","",C18*0.00981)</f>
      </c>
      <c r="I18" s="3">
        <f>IF($B$5="","",$B$5*0.0254)</f>
      </c>
      <c r="J18" s="3">
        <f>IF($B$9="","",$B$9)</f>
      </c>
      <c r="K18" s="3">
        <f>IFERROR(IF(OR(G18="",H18="",I18="",J18=""),"",H18/(J18*G18^2*I18^4)),"")</f>
      </c>
      <c r="L18" s="3">
        <f>IF(D18&lt;&gt;"",D18,IF(AND(E18&lt;&gt;"",F18&lt;&gt;""),E18*F18,""))</f>
      </c>
      <c r="M18" s="3">
        <f>IFERROR(IF(OR(L18="",G18="",I18="",J18=""),"",L18/(J18*G18^3*I18^5)),"")</f>
      </c>
    </row>
    <row r="19">
      <c r="F19" s="2">
        <v>0.85</v>
      </c>
      <c r="G19" s="3">
        <f>IF(B19="","",B19/60)</f>
      </c>
      <c r="H19" s="3">
        <f>IF(C19="","",C19*0.00981)</f>
      </c>
      <c r="I19" s="3">
        <f>IF($B$5="","",$B$5*0.0254)</f>
      </c>
      <c r="J19" s="3">
        <f>IF($B$9="","",$B$9)</f>
      </c>
      <c r="K19" s="3">
        <f>IFERROR(IF(OR(G19="",H19="",I19="",J19=""),"",H19/(J19*G19^2*I19^4)),"")</f>
      </c>
      <c r="L19" s="3">
        <f>IF(D19&lt;&gt;"",D19,IF(AND(E19&lt;&gt;"",F19&lt;&gt;""),E19*F19,""))</f>
      </c>
      <c r="M19" s="3">
        <f>IFERROR(IF(OR(L19="",G19="",I19="",J19=""),"",L19/(J19*G19^3*I19^5)),"")</f>
      </c>
    </row>
    <row r="20">
      <c r="F20" s="2">
        <v>0.85</v>
      </c>
      <c r="G20" s="3">
        <f>IF(B20="","",B20/60)</f>
      </c>
      <c r="H20" s="3">
        <f>IF(C20="","",C20*0.00981)</f>
      </c>
      <c r="I20" s="3">
        <f>IF($B$5="","",$B$5*0.0254)</f>
      </c>
      <c r="J20" s="3">
        <f>IF($B$9="","",$B$9)</f>
      </c>
      <c r="K20" s="3">
        <f>IFERROR(IF(OR(G20="",H20="",I20="",J20=""),"",H20/(J20*G20^2*I20^4)),"")</f>
      </c>
      <c r="L20" s="3">
        <f>IF(D20&lt;&gt;"",D20,IF(AND(E20&lt;&gt;"",F20&lt;&gt;""),E20*F20,""))</f>
      </c>
      <c r="M20" s="3">
        <f>IFERROR(IF(OR(L20="",G20="",I20="",J20=""),"",L20/(J20*G20^3*I20^5)),"")</f>
      </c>
    </row>
    <row r="21">
      <c r="F21" s="2">
        <v>0.85</v>
      </c>
      <c r="G21" s="3">
        <f>IF(B21="","",B21/60)</f>
      </c>
      <c r="H21" s="3">
        <f>IF(C21="","",C21*0.00981)</f>
      </c>
      <c r="I21" s="3">
        <f>IF($B$5="","",$B$5*0.0254)</f>
      </c>
      <c r="J21" s="3">
        <f>IF($B$9="","",$B$9)</f>
      </c>
      <c r="K21" s="3">
        <f>IFERROR(IF(OR(G21="",H21="",I21="",J21=""),"",H21/(J21*G21^2*I21^4)),"")</f>
      </c>
      <c r="L21" s="3">
        <f>IF(D21&lt;&gt;"",D21,IF(AND(E21&lt;&gt;"",F21&lt;&gt;""),E21*F21,""))</f>
      </c>
      <c r="M21" s="3">
        <f>IFERROR(IF(OR(L21="",G21="",I21="",J21=""),"",L21/(J21*G21^3*I21^5)),"")</f>
      </c>
    </row>
    <row r="22">
      <c r="F22" s="2">
        <v>0.85</v>
      </c>
      <c r="G22" s="3">
        <f>IF(B22="","",B22/60)</f>
      </c>
      <c r="H22" s="3">
        <f>IF(C22="","",C22*0.00981)</f>
      </c>
      <c r="I22" s="3">
        <f>IF($B$5="","",$B$5*0.0254)</f>
      </c>
      <c r="J22" s="3">
        <f>IF($B$9="","",$B$9)</f>
      </c>
      <c r="K22" s="3">
        <f>IFERROR(IF(OR(G22="",H22="",I22="",J22=""),"",H22/(J22*G22^2*I22^4)),"")</f>
      </c>
      <c r="L22" s="3">
        <f>IF(D22&lt;&gt;"",D22,IF(AND(E22&lt;&gt;"",F22&lt;&gt;""),E22*F22,""))</f>
      </c>
      <c r="M22" s="3">
        <f>IFERROR(IF(OR(L22="",G22="",I22="",J22=""),"",L22/(J22*G22^3*I22^5)),"")</f>
      </c>
    </row>
    <row r="23">
      <c r="F23" s="2">
        <v>0.85</v>
      </c>
      <c r="G23" s="3">
        <f>IF(B23="","",B23/60)</f>
      </c>
      <c r="H23" s="3">
        <f>IF(C23="","",C23*0.00981)</f>
      </c>
      <c r="I23" s="3">
        <f>IF($B$5="","",$B$5*0.0254)</f>
      </c>
      <c r="J23" s="3">
        <f>IF($B$9="","",$B$9)</f>
      </c>
      <c r="K23" s="3">
        <f>IFERROR(IF(OR(G23="",H23="",I23="",J23=""),"",H23/(J23*G23^2*I23^4)),"")</f>
      </c>
      <c r="L23" s="3">
        <f>IF(D23&lt;&gt;"",D23,IF(AND(E23&lt;&gt;"",F23&lt;&gt;""),E23*F23,""))</f>
      </c>
      <c r="M23" s="3">
        <f>IFERROR(IF(OR(L23="",G23="",I23="",J23=""),"",L23/(J23*G23^3*I23^5)),"")</f>
      </c>
    </row>
    <row r="24">
      <c r="F24" s="2">
        <v>0.85</v>
      </c>
      <c r="G24" s="3">
        <f>IF(B24="","",B24/60)</f>
      </c>
      <c r="H24" s="3">
        <f>IF(C24="","",C24*0.00981)</f>
      </c>
      <c r="I24" s="3">
        <f>IF($B$5="","",$B$5*0.0254)</f>
      </c>
      <c r="J24" s="3">
        <f>IF($B$9="","",$B$9)</f>
      </c>
      <c r="K24" s="3">
        <f>IFERROR(IF(OR(G24="",H24="",I24="",J24=""),"",H24/(J24*G24^2*I24^4)),"")</f>
      </c>
      <c r="L24" s="3">
        <f>IF(D24&lt;&gt;"",D24,IF(AND(E24&lt;&gt;"",F24&lt;&gt;""),E24*F24,""))</f>
      </c>
      <c r="M24" s="3">
        <f>IFERROR(IF(OR(L24="",G24="",I24="",J24=""),"",L24/(J24*G24^3*I24^5)),"")</f>
      </c>
    </row>
    <row r="25">
      <c r="F25" s="2">
        <v>0.85</v>
      </c>
      <c r="G25" s="3">
        <f>IF(B25="","",B25/60)</f>
      </c>
      <c r="H25" s="3">
        <f>IF(C25="","",C25*0.00981)</f>
      </c>
      <c r="I25" s="3">
        <f>IF($B$5="","",$B$5*0.0254)</f>
      </c>
      <c r="J25" s="3">
        <f>IF($B$9="","",$B$9)</f>
      </c>
      <c r="K25" s="3">
        <f>IFERROR(IF(OR(G25="",H25="",I25="",J25=""),"",H25/(J25*G25^2*I25^4)),"")</f>
      </c>
      <c r="L25" s="3">
        <f>IF(D25&lt;&gt;"",D25,IF(AND(E25&lt;&gt;"",F25&lt;&gt;""),E25*F25,""))</f>
      </c>
      <c r="M25" s="3">
        <f>IFERROR(IF(OR(L25="",G25="",I25="",J25=""),"",L25/(J25*G25^3*I25^5)),"")</f>
      </c>
    </row>
    <row r="26">
      <c r="F26" s="2">
        <v>0.85</v>
      </c>
      <c r="G26" s="3">
        <f>IF(B26="","",B26/60)</f>
      </c>
      <c r="H26" s="3">
        <f>IF(C26="","",C26*0.00981)</f>
      </c>
      <c r="I26" s="3">
        <f>IF($B$5="","",$B$5*0.0254)</f>
      </c>
      <c r="J26" s="3">
        <f>IF($B$9="","",$B$9)</f>
      </c>
      <c r="K26" s="3">
        <f>IFERROR(IF(OR(G26="",H26="",I26="",J26=""),"",H26/(J26*G26^2*I26^4)),"")</f>
      </c>
      <c r="L26" s="3">
        <f>IF(D26&lt;&gt;"",D26,IF(AND(E26&lt;&gt;"",F26&lt;&gt;""),E26*F26,""))</f>
      </c>
      <c r="M26" s="3">
        <f>IFERROR(IF(OR(L26="",G26="",I26="",J26=""),"",L26/(J26*G26^3*I26^5)),"")</f>
      </c>
    </row>
    <row r="27">
      <c r="F27" s="2">
        <v>0.85</v>
      </c>
      <c r="G27" s="3">
        <f>IF(B27="","",B27/60)</f>
      </c>
      <c r="H27" s="3">
        <f>IF(C27="","",C27*0.00981)</f>
      </c>
      <c r="I27" s="3">
        <f>IF($B$5="","",$B$5*0.0254)</f>
      </c>
      <c r="J27" s="3">
        <f>IF($B$9="","",$B$9)</f>
      </c>
      <c r="K27" s="3">
        <f>IFERROR(IF(OR(G27="",H27="",I27="",J27=""),"",H27/(J27*G27^2*I27^4)),"")</f>
      </c>
      <c r="L27" s="3">
        <f>IF(D27&lt;&gt;"",D27,IF(AND(E27&lt;&gt;"",F27&lt;&gt;""),E27*F27,""))</f>
      </c>
      <c r="M27" s="3">
        <f>IFERROR(IF(OR(L27="",G27="",I27="",J27=""),"",L27/(J27*G27^3*I27^5)),"")</f>
      </c>
    </row>
    <row r="28">
      <c r="F28" s="2">
        <v>0.85</v>
      </c>
      <c r="G28" s="3">
        <f>IF(B28="","",B28/60)</f>
      </c>
      <c r="H28" s="3">
        <f>IF(C28="","",C28*0.00981)</f>
      </c>
      <c r="I28" s="3">
        <f>IF($B$5="","",$B$5*0.0254)</f>
      </c>
      <c r="J28" s="3">
        <f>IF($B$9="","",$B$9)</f>
      </c>
      <c r="K28" s="3">
        <f>IFERROR(IF(OR(G28="",H28="",I28="",J28=""),"",H28/(J28*G28^2*I28^4)),"")</f>
      </c>
      <c r="L28" s="3">
        <f>IF(D28&lt;&gt;"",D28,IF(AND(E28&lt;&gt;"",F28&lt;&gt;""),E28*F28,""))</f>
      </c>
      <c r="M28" s="3">
        <f>IFERROR(IF(OR(L28="",G28="",I28="",J28=""),"",L28/(J28*G28^3*I28^5)),"")</f>
      </c>
    </row>
    <row r="29">
      <c r="F29" s="2">
        <v>0.85</v>
      </c>
      <c r="G29" s="3">
        <f>IF(B29="","",B29/60)</f>
      </c>
      <c r="H29" s="3">
        <f>IF(C29="","",C29*0.00981)</f>
      </c>
      <c r="I29" s="3">
        <f>IF($B$5="","",$B$5*0.0254)</f>
      </c>
      <c r="J29" s="3">
        <f>IF($B$9="","",$B$9)</f>
      </c>
      <c r="K29" s="3">
        <f>IFERROR(IF(OR(G29="",H29="",I29="",J29=""),"",H29/(J29*G29^2*I29^4)),"")</f>
      </c>
      <c r="L29" s="3">
        <f>IF(D29&lt;&gt;"",D29,IF(AND(E29&lt;&gt;"",F29&lt;&gt;""),E29*F29,""))</f>
      </c>
      <c r="M29" s="3">
        <f>IFERROR(IF(OR(L29="",G29="",I29="",J29=""),"",L29/(J29*G29^3*I29^5)),"")</f>
      </c>
    </row>
    <row r="30">
      <c r="F30" s="2">
        <v>0.85</v>
      </c>
      <c r="G30" s="3">
        <f>IF(B30="","",B30/60)</f>
      </c>
      <c r="H30" s="3">
        <f>IF(C30="","",C30*0.00981)</f>
      </c>
      <c r="I30" s="3">
        <f>IF($B$5="","",$B$5*0.0254)</f>
      </c>
      <c r="J30" s="3">
        <f>IF($B$9="","",$B$9)</f>
      </c>
      <c r="K30" s="3">
        <f>IFERROR(IF(OR(G30="",H30="",I30="",J30=""),"",H30/(J30*G30^2*I30^4)),"")</f>
      </c>
      <c r="L30" s="3">
        <f>IF(D30&lt;&gt;"",D30,IF(AND(E30&lt;&gt;"",F30&lt;&gt;""),E30*F30,""))</f>
      </c>
      <c r="M30" s="3">
        <f>IFERROR(IF(OR(L30="",G30="",I30="",J30=""),"",L30/(J30*G30^3*I30^5)),"")</f>
      </c>
    </row>
    <row r="31">
      <c r="F31" s="2">
        <v>0.85</v>
      </c>
      <c r="G31" s="3">
        <f>IF(B31="","",B31/60)</f>
      </c>
      <c r="H31" s="3">
        <f>IF(C31="","",C31*0.00981)</f>
      </c>
      <c r="I31" s="3">
        <f>IF($B$5="","",$B$5*0.0254)</f>
      </c>
      <c r="J31" s="3">
        <f>IF($B$9="","",$B$9)</f>
      </c>
      <c r="K31" s="3">
        <f>IFERROR(IF(OR(G31="",H31="",I31="",J31=""),"",H31/(J31*G31^2*I31^4)),"")</f>
      </c>
      <c r="L31" s="3">
        <f>IF(D31&lt;&gt;"",D31,IF(AND(E31&lt;&gt;"",F31&lt;&gt;""),E31*F31,""))</f>
      </c>
      <c r="M31" s="3">
        <f>IFERROR(IF(OR(L31="",G31="",I31="",J31=""),"",L31/(J31*G31^3*I31^5)),"")</f>
      </c>
    </row>
    <row r="32">
      <c r="F32" s="2">
        <v>0.85</v>
      </c>
      <c r="G32" s="3">
        <f>IF(B32="","",B32/60)</f>
      </c>
      <c r="H32" s="3">
        <f>IF(C32="","",C32*0.00981)</f>
      </c>
      <c r="I32" s="3">
        <f>IF($B$5="","",$B$5*0.0254)</f>
      </c>
      <c r="J32" s="3">
        <f>IF($B$9="","",$B$9)</f>
      </c>
      <c r="K32" s="3">
        <f>IFERROR(IF(OR(G32="",H32="",I32="",J32=""),"",H32/(J32*G32^2*I32^4)),"")</f>
      </c>
      <c r="L32" s="3">
        <f>IF(D32&lt;&gt;"",D32,IF(AND(E32&lt;&gt;"",F32&lt;&gt;""),E32*F32,""))</f>
      </c>
      <c r="M32" s="3">
        <f>IFERROR(IF(OR(L32="",G32="",I32="",J32=""),"",L32/(J32*G32^3*I32^5)),"")</f>
      </c>
    </row>
    <row r="33">
      <c r="F33" s="2">
        <v>0.85</v>
      </c>
      <c r="G33" s="3">
        <f>IF(B33="","",B33/60)</f>
      </c>
      <c r="H33" s="3">
        <f>IF(C33="","",C33*0.00981)</f>
      </c>
      <c r="I33" s="3">
        <f>IF($B$5="","",$B$5*0.0254)</f>
      </c>
      <c r="J33" s="3">
        <f>IF($B$9="","",$B$9)</f>
      </c>
      <c r="K33" s="3">
        <f>IFERROR(IF(OR(G33="",H33="",I33="",J33=""),"",H33/(J33*G33^2*I33^4)),"")</f>
      </c>
      <c r="L33" s="3">
        <f>IF(D33&lt;&gt;"",D33,IF(AND(E33&lt;&gt;"",F33&lt;&gt;""),E33*F33,""))</f>
      </c>
      <c r="M33" s="3">
        <f>IFERROR(IF(OR(L33="",G33="",I33="",J33=""),"",L33/(J33*G33^3*I33^5)),"")</f>
      </c>
    </row>
  </sheetData>
</worksheet>
</file>